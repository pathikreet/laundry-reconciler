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Chart1 Net Change in Cash Balan" sheetId="2" r:id="rId5"/>
  </sheets>
  <definedNames/>
  <calcPr/>
</workbook>
</file>

<file path=xl/sharedStrings.xml><?xml version="1.0" encoding="utf-8"?>
<sst xmlns="http://schemas.openxmlformats.org/spreadsheetml/2006/main" count="35" uniqueCount="23">
  <si>
    <t>Day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</si>
  <si>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</si>
  <si>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</si>
  <si>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</si>
  <si>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</si>
  <si>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</si>
  <si>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</si>
  <si>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</si>
  <si>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</si>
  <si>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</si>
  <si>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</si>
  <si>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</si>
  <si>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</si>
  <si>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All Values in INR</t>
  </si>
  <si>
    <t>holiday</t>
  </si>
  <si>
    <t>Sunday</t>
  </si>
  <si>
    <t>Month</t>
  </si>
  <si>
    <t>Deposit Amount</t>
  </si>
  <si>
    <t>Holiday</t>
  </si>
  <si>
    <t>SUNDAY</t>
  </si>
  <si>
    <t>Monthly Closing</t>
  </si>
  <si>
    <t>Date</t>
  </si>
  <si>
    <t>Daily Net 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</si>
</sst>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</fills>
  <borders count="9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4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5" fillId="0" fontId="2" numFmtId="0" xfId="0" applyBorder="1" applyFont="1"/>
    <xf borderId="6" fillId="2" fontId="2" numFmtId="0" xfId="0" applyAlignment="1" applyBorder="1" applyFont="1">
      <alignment readingOrder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2" fillId="4" fontId="3" numFmtId="0" xfId="0" applyAlignment="1" applyBorder="1" applyFill="1" applyFont="1">
      <alignment readingOrder="0"/>
    </xf>
    <xf borderId="2" fillId="5" fontId="1" numFmtId="0" xfId="0" applyBorder="1" applyFill="1" applyFont="1"/>
    <xf borderId="2" fillId="5" fontId="1" numFmtId="0" xfId="0" applyAlignment="1" applyBorder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FC7CE"/>
          <bgColor rgb="FFFFC7CE"/>
        </patternFill>
      </fill>
      <border/>
    </dxf>
  </dxfs>
  <tableStyles count="2">
    <tableStyle count="4" pivot="0" name="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Net Change in Cash Ba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Net Change in Cash Balance (Daily Net Earnings) (Sep - Dec 2025)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Net Change in Cash Balan'!$A$3:$A$67</c:f>
            </c:strRef>
          </c:cat>
          <c:val>
            <c:numRef>
              <c:f>'Chart1 Net Change in Cash Balan'!$B$3:$B$67</c:f>
              <c:numCache/>
            </c:numRef>
          </c:val>
          <c:smooth val="0"/>
        </c:ser>
        <c:axId val="836278799"/>
        <c:axId val="1855019633"/>
      </c:lineChart>
      <c:catAx>
        <c:axId val="83627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019633"/>
      </c:catAx>
      <c:valAx>
        <c:axId val="1855019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Daily Net Earnings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278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O18:Q20" displayName="Cash_Deposits" name="Cash_Deposits" id="1">
  <tableColumns count="3">
    <tableColumn name="Month" id="1"/>
    <tableColumn name="Day Of Month" id="2"/>
    <tableColumn name="Deposit Amount" id="3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ref="A3:B67" displayName="Net_Change_in_Cash_Balance_Daily_Net_Earnings_Sep_Dec_2025_" name="Net_Change_in_Cash_Balance_Daily_Net_Earnings_Sep_Dec_2025_" id="2">
  <tableColumns count="2">
    <tableColumn name="Date" id="1"/>
    <tableColumn name="Daily Net Earnings" id="2"/>
  </tableColumns>
  <tableStyleInfo name="Chart1 Net Change in Cash Ba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15" max="15" width="14.38"/>
    <col customWidth="1" min="16" max="16" width="18.88"/>
    <col customWidth="1" min="17" max="17" width="20.75"/>
    <col customWidth="1" min="18" max="18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1.0</v>
      </c>
      <c r="K2" s="5">
        <v>6816.0</v>
      </c>
      <c r="L2" s="5">
        <v>10442.0</v>
      </c>
      <c r="M2" s="6">
        <v>18051.0</v>
      </c>
      <c r="O2" s="5" t="s">
        <v>13</v>
      </c>
    </row>
    <row r="3">
      <c r="A3" s="4">
        <v>2.0</v>
      </c>
      <c r="K3" s="5" t="s">
        <v>14</v>
      </c>
      <c r="L3" s="5" t="s">
        <v>15</v>
      </c>
      <c r="M3" s="6">
        <v>19303.0</v>
      </c>
    </row>
    <row r="4">
      <c r="A4" s="4">
        <v>3.0</v>
      </c>
      <c r="K4" s="5">
        <v>8316.0</v>
      </c>
      <c r="L4" s="5">
        <v>10966.0</v>
      </c>
      <c r="M4" s="6">
        <v>20763.0</v>
      </c>
    </row>
    <row r="5">
      <c r="A5" s="4">
        <v>4.0</v>
      </c>
      <c r="K5" s="5">
        <v>9550.0</v>
      </c>
      <c r="L5" s="5">
        <v>11604.0</v>
      </c>
      <c r="M5" s="6">
        <v>21163.0</v>
      </c>
    </row>
    <row r="6">
      <c r="A6" s="4">
        <v>5.0</v>
      </c>
      <c r="K6" s="5" t="s">
        <v>15</v>
      </c>
      <c r="L6" s="5">
        <v>12714.0</v>
      </c>
      <c r="M6" s="6">
        <v>21295.0</v>
      </c>
    </row>
    <row r="7">
      <c r="A7" s="4">
        <v>6.0</v>
      </c>
      <c r="K7" s="5">
        <v>11750.0</v>
      </c>
      <c r="L7" s="5">
        <v>14536.0</v>
      </c>
      <c r="M7" s="6">
        <v>21903.0</v>
      </c>
    </row>
    <row r="8">
      <c r="A8" s="4">
        <v>7.0</v>
      </c>
      <c r="K8" s="5">
        <v>1360.0</v>
      </c>
      <c r="L8" s="5">
        <v>16355.0</v>
      </c>
      <c r="M8" s="5" t="s">
        <v>15</v>
      </c>
    </row>
    <row r="9">
      <c r="A9" s="4">
        <v>8.0</v>
      </c>
      <c r="K9" s="5">
        <v>1666.0</v>
      </c>
      <c r="L9" s="5">
        <v>16985.0</v>
      </c>
      <c r="M9" s="6">
        <v>23883.0</v>
      </c>
    </row>
    <row r="10">
      <c r="A10" s="4">
        <v>9.0</v>
      </c>
      <c r="K10" s="5">
        <v>1730.0</v>
      </c>
      <c r="L10" s="5" t="s">
        <v>15</v>
      </c>
      <c r="M10" s="6">
        <v>26633.0</v>
      </c>
    </row>
    <row r="11">
      <c r="A11" s="4">
        <v>10.0</v>
      </c>
      <c r="K11" s="5">
        <v>1730.0</v>
      </c>
      <c r="L11" s="5">
        <v>19305.0</v>
      </c>
      <c r="M11" s="6">
        <v>29053.0</v>
      </c>
    </row>
    <row r="12">
      <c r="A12" s="4">
        <v>11.0</v>
      </c>
      <c r="K12" s="5">
        <v>1730.0</v>
      </c>
      <c r="L12" s="5">
        <v>21346.0</v>
      </c>
      <c r="M12" s="6">
        <v>29914.0</v>
      </c>
    </row>
    <row r="13">
      <c r="A13" s="4">
        <v>12.0</v>
      </c>
      <c r="K13" s="5" t="s">
        <v>15</v>
      </c>
      <c r="L13" s="5">
        <v>22759.0</v>
      </c>
      <c r="M13" s="6">
        <v>34894.0</v>
      </c>
    </row>
    <row r="14">
      <c r="A14" s="4">
        <v>13.0</v>
      </c>
      <c r="K14" s="5">
        <f>2234+1730</f>
        <v>3964</v>
      </c>
      <c r="L14" s="5">
        <v>23821.0</v>
      </c>
      <c r="M14" s="6">
        <v>36108.0</v>
      </c>
    </row>
    <row r="15">
      <c r="A15" s="4">
        <v>14.0</v>
      </c>
      <c r="K15" s="5">
        <f>2641+1730</f>
        <v>4371</v>
      </c>
      <c r="L15" s="5">
        <v>25921.0</v>
      </c>
      <c r="M15" s="5" t="s">
        <v>15</v>
      </c>
    </row>
    <row r="16">
      <c r="A16" s="4">
        <v>15.0</v>
      </c>
      <c r="K16" s="5">
        <f>7736+1730</f>
        <v>9466</v>
      </c>
      <c r="L16" s="5">
        <v>32047.0</v>
      </c>
      <c r="M16" s="6">
        <v>35766.0</v>
      </c>
    </row>
    <row r="17">
      <c r="A17" s="4">
        <v>16.0</v>
      </c>
      <c r="K17" s="5">
        <f>7636+1730</f>
        <v>9366</v>
      </c>
      <c r="L17" s="5" t="s">
        <v>15</v>
      </c>
      <c r="M17" s="6">
        <v>37196.0</v>
      </c>
    </row>
    <row r="18" ht="22.5" customHeight="1">
      <c r="A18" s="4">
        <v>17.0</v>
      </c>
      <c r="K18" s="5">
        <f>10112+1730</f>
        <v>11842</v>
      </c>
      <c r="L18" s="5">
        <v>30191.0</v>
      </c>
      <c r="M18" s="6">
        <v>11626.0</v>
      </c>
      <c r="O18" s="7" t="s">
        <v>16</v>
      </c>
      <c r="P18" s="7" t="s">
        <v>0</v>
      </c>
      <c r="Q18" s="7" t="s">
        <v>17</v>
      </c>
    </row>
    <row r="19" ht="22.5" customHeight="1">
      <c r="A19" s="4">
        <v>18.0</v>
      </c>
      <c r="K19" s="5">
        <f>17974+1730</f>
        <v>19704</v>
      </c>
      <c r="L19" s="5">
        <v>30941.0</v>
      </c>
      <c r="M19" s="6">
        <v>16684.0</v>
      </c>
      <c r="O19" s="8" t="s">
        <v>11</v>
      </c>
      <c r="P19" s="9">
        <v>20.0</v>
      </c>
      <c r="Q19" s="9">
        <v>30000.0</v>
      </c>
    </row>
    <row r="20" ht="22.5" customHeight="1">
      <c r="A20" s="4">
        <v>19.0</v>
      </c>
      <c r="K20" s="5">
        <f>18174+1730-600-15784</f>
        <v>3520</v>
      </c>
      <c r="L20" s="5">
        <v>34781.0</v>
      </c>
      <c r="M20" s="6">
        <v>18252.0</v>
      </c>
      <c r="O20" s="8" t="s">
        <v>12</v>
      </c>
      <c r="P20" s="9">
        <v>17.0</v>
      </c>
      <c r="Q20" s="9">
        <v>30000.0</v>
      </c>
    </row>
    <row r="21">
      <c r="A21" s="4">
        <v>20.0</v>
      </c>
      <c r="K21" s="5">
        <v>3232.0</v>
      </c>
      <c r="L21" s="5">
        <v>7446.0</v>
      </c>
      <c r="M21" s="6">
        <v>22670.0</v>
      </c>
    </row>
    <row r="22">
      <c r="A22" s="4">
        <v>21.0</v>
      </c>
      <c r="K22" s="5">
        <v>6818.0</v>
      </c>
      <c r="L22" s="5">
        <v>9446.0</v>
      </c>
      <c r="M22" s="6" t="s">
        <v>15</v>
      </c>
    </row>
    <row r="23">
      <c r="A23" s="4">
        <v>22.0</v>
      </c>
      <c r="K23" s="5">
        <v>8570.0</v>
      </c>
      <c r="L23" s="5">
        <v>12050.0</v>
      </c>
      <c r="M23" s="6">
        <v>24424.0</v>
      </c>
    </row>
    <row r="24">
      <c r="A24" s="4">
        <v>23.0</v>
      </c>
      <c r="K24" s="5" t="s">
        <v>18</v>
      </c>
      <c r="L24" s="5" t="s">
        <v>19</v>
      </c>
      <c r="M24" s="6">
        <v>24424.0</v>
      </c>
    </row>
    <row r="25">
      <c r="A25" s="4">
        <v>24.0</v>
      </c>
      <c r="J25" s="5">
        <v>6370.0</v>
      </c>
      <c r="K25" s="5">
        <v>8170.0</v>
      </c>
      <c r="L25" s="5">
        <v>12200.0</v>
      </c>
      <c r="M25" s="10"/>
    </row>
    <row r="26">
      <c r="A26" s="4">
        <v>25.0</v>
      </c>
      <c r="J26" s="5">
        <v>7521.0</v>
      </c>
      <c r="K26" s="5">
        <v>8398.0</v>
      </c>
      <c r="L26" s="5">
        <v>15087.0</v>
      </c>
      <c r="M26" s="10"/>
    </row>
    <row r="27">
      <c r="A27" s="4">
        <v>26.0</v>
      </c>
      <c r="J27" s="5">
        <v>10621.0</v>
      </c>
      <c r="K27" s="5" t="s">
        <v>18</v>
      </c>
      <c r="L27" s="5">
        <v>16997.0</v>
      </c>
      <c r="M27" s="10"/>
    </row>
    <row r="28">
      <c r="A28" s="4">
        <v>27.0</v>
      </c>
      <c r="J28" s="5">
        <v>12350.0</v>
      </c>
      <c r="K28" s="5">
        <v>13405.0</v>
      </c>
      <c r="L28" s="5">
        <v>18371.0</v>
      </c>
      <c r="M28" s="10"/>
    </row>
    <row r="29">
      <c r="A29" s="4">
        <v>28.0</v>
      </c>
      <c r="J29" s="5">
        <v>12660.0</v>
      </c>
      <c r="K29" s="5">
        <v>14781.0</v>
      </c>
      <c r="L29" s="5">
        <v>18261.0</v>
      </c>
      <c r="M29" s="10"/>
    </row>
    <row r="30">
      <c r="A30" s="4">
        <v>29.0</v>
      </c>
      <c r="J30" s="5">
        <v>4277.0</v>
      </c>
      <c r="K30" s="5">
        <v>14890.0</v>
      </c>
      <c r="L30" s="5">
        <v>19293.0</v>
      </c>
      <c r="M30" s="10"/>
    </row>
    <row r="31">
      <c r="A31" s="4">
        <v>30.0</v>
      </c>
      <c r="J31" s="5">
        <v>6167.0</v>
      </c>
      <c r="K31" s="5">
        <v>15263.0</v>
      </c>
      <c r="L31" s="5" t="s">
        <v>15</v>
      </c>
      <c r="M31" s="10"/>
    </row>
    <row r="32">
      <c r="A32" s="11">
        <v>31.0</v>
      </c>
      <c r="B32" s="12"/>
      <c r="C32" s="12"/>
      <c r="D32" s="12"/>
      <c r="E32" s="12"/>
      <c r="F32" s="12"/>
      <c r="G32" s="12"/>
      <c r="H32" s="12"/>
      <c r="I32" s="12"/>
      <c r="J32" s="12"/>
      <c r="K32" s="13">
        <v>9663.0</v>
      </c>
      <c r="L32" s="12"/>
      <c r="M32" s="14"/>
    </row>
    <row r="33">
      <c r="A33" s="15" t="s">
        <v>20</v>
      </c>
      <c r="B33" s="16"/>
      <c r="C33" s="16"/>
      <c r="D33" s="16"/>
      <c r="E33" s="16"/>
      <c r="F33" s="16"/>
      <c r="G33" s="16"/>
      <c r="H33" s="16"/>
      <c r="I33" s="16"/>
      <c r="J33" s="17">
        <v>6167.0</v>
      </c>
      <c r="K33" s="17">
        <v>9663.0</v>
      </c>
      <c r="L33" s="17">
        <v>12893.0</v>
      </c>
      <c r="M33" s="16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</sheetData>
  <conditionalFormatting sqref="M3:M32">
    <cfRule type="expression" dxfId="5" priority="1" stopIfTrue="1">
      <formula>IF(AND(ISNUMBER(M3), ISNUMBER(M2)), M3-M2&lt;0, FALSE)</formula>
    </cfRule>
  </conditionalFormatting>
  <conditionalFormatting sqref="L3:L32">
    <cfRule type="expression" dxfId="5" priority="2" stopIfTrue="1">
      <formula>IF(AND(ISNUMBER(L3), ISNUMBER(L2)), L3-L2&lt;0, FALSE)</formula>
    </cfRule>
  </conditionalFormatting>
  <conditionalFormatting sqref="K3:K32">
    <cfRule type="expression" dxfId="5" priority="3" stopIfTrue="1">
      <formula>IF(AND(ISNUMBER(K3), ISNUMBER(K2)), K3-K2&lt;0, FALSE)</formula>
    </cfRule>
  </conditionalFormatting>
  <dataValidations>
    <dataValidation type="custom" allowBlank="1" showDropDown="1" sqref="P19:Q20">
      <formula1>AND(ISNUMBER(P19),(NOT(OR(NOT(ISERROR(DATEVALUE(P19))), AND(ISNUMBER(P19), LEFT(CELL("format", P19))="D")))))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7" t="s">
        <v>21</v>
      </c>
      <c r="B3" s="7" t="s">
        <v>22</v>
      </c>
    </row>
    <row r="4" ht="22.5" customHeight="1">
      <c r="A4" s="19">
        <v>45924.0</v>
      </c>
      <c r="B4" s="8"/>
    </row>
    <row r="5" ht="22.5" customHeight="1">
      <c r="A5" s="19">
        <v>45925.0</v>
      </c>
      <c r="B5" s="9">
        <v>1151.0</v>
      </c>
    </row>
    <row r="6" ht="22.5" customHeight="1">
      <c r="A6" s="19">
        <v>45926.0</v>
      </c>
      <c r="B6" s="9">
        <v>3100.0</v>
      </c>
    </row>
    <row r="7" ht="22.5" customHeight="1">
      <c r="A7" s="19">
        <v>45927.0</v>
      </c>
      <c r="B7" s="9">
        <v>1729.0</v>
      </c>
    </row>
    <row r="8" ht="22.5" customHeight="1">
      <c r="A8" s="19">
        <v>45928.0</v>
      </c>
      <c r="B8" s="9">
        <v>310.0</v>
      </c>
    </row>
    <row r="9" ht="22.5" customHeight="1">
      <c r="A9" s="19">
        <v>45929.0</v>
      </c>
      <c r="B9" s="9">
        <v>-8383.0</v>
      </c>
    </row>
    <row r="10" ht="22.5" customHeight="1">
      <c r="A10" s="19">
        <v>45930.0</v>
      </c>
      <c r="B10" s="9">
        <v>1890.0</v>
      </c>
    </row>
    <row r="11" ht="22.5" customHeight="1">
      <c r="A11" s="19">
        <v>45931.0</v>
      </c>
      <c r="B11" s="9">
        <v>649.0</v>
      </c>
    </row>
    <row r="12" ht="22.5" customHeight="1">
      <c r="A12" s="19">
        <v>45933.0</v>
      </c>
      <c r="B12" s="9">
        <v>1500.0</v>
      </c>
    </row>
    <row r="13" ht="22.5" customHeight="1">
      <c r="A13" s="19">
        <v>45934.0</v>
      </c>
      <c r="B13" s="9">
        <v>1234.0</v>
      </c>
    </row>
    <row r="14" ht="22.5" customHeight="1">
      <c r="A14" s="19">
        <v>45936.0</v>
      </c>
      <c r="B14" s="9">
        <v>2200.0</v>
      </c>
    </row>
    <row r="15" ht="22.5" customHeight="1">
      <c r="A15" s="19">
        <v>45937.0</v>
      </c>
      <c r="B15" s="9">
        <v>-10390.0</v>
      </c>
    </row>
    <row r="16" ht="22.5" customHeight="1">
      <c r="A16" s="19">
        <v>45938.0</v>
      </c>
      <c r="B16" s="9">
        <v>306.0</v>
      </c>
    </row>
    <row r="17" ht="22.5" customHeight="1">
      <c r="A17" s="19">
        <v>45939.0</v>
      </c>
      <c r="B17" s="9">
        <v>64.0</v>
      </c>
    </row>
    <row r="18" ht="22.5" customHeight="1">
      <c r="A18" s="19">
        <v>45940.0</v>
      </c>
      <c r="B18" s="9">
        <v>0.0</v>
      </c>
    </row>
    <row r="19" ht="22.5" customHeight="1">
      <c r="A19" s="19">
        <v>45941.0</v>
      </c>
      <c r="B19" s="9">
        <v>0.0</v>
      </c>
    </row>
    <row r="20" ht="22.5" customHeight="1">
      <c r="A20" s="19">
        <v>45943.0</v>
      </c>
      <c r="B20" s="9">
        <v>2234.0</v>
      </c>
    </row>
    <row r="21" ht="22.5" customHeight="1">
      <c r="A21" s="19">
        <v>45944.0</v>
      </c>
      <c r="B21" s="9">
        <v>407.0</v>
      </c>
    </row>
    <row r="22" ht="22.5" customHeight="1">
      <c r="A22" s="19">
        <v>45945.0</v>
      </c>
      <c r="B22" s="9">
        <v>5095.0</v>
      </c>
    </row>
    <row r="23" ht="22.5" customHeight="1">
      <c r="A23" s="19">
        <v>45946.0</v>
      </c>
      <c r="B23" s="9">
        <v>-100.0</v>
      </c>
    </row>
    <row r="24" ht="22.5" customHeight="1">
      <c r="A24" s="19">
        <v>45947.0</v>
      </c>
      <c r="B24" s="9">
        <v>2476.0</v>
      </c>
    </row>
    <row r="25" ht="22.5" customHeight="1">
      <c r="A25" s="19">
        <v>45948.0</v>
      </c>
      <c r="B25" s="9">
        <v>7862.0</v>
      </c>
    </row>
    <row r="26" ht="22.5" customHeight="1">
      <c r="A26" s="19">
        <v>45949.0</v>
      </c>
      <c r="B26" s="9">
        <v>-16184.0</v>
      </c>
    </row>
    <row r="27" ht="22.5" customHeight="1">
      <c r="A27" s="19">
        <v>45950.0</v>
      </c>
      <c r="B27" s="9">
        <v>-288.0</v>
      </c>
    </row>
    <row r="28" ht="22.5" customHeight="1">
      <c r="A28" s="19">
        <v>45951.0</v>
      </c>
      <c r="B28" s="9">
        <v>3586.0</v>
      </c>
    </row>
    <row r="29" ht="22.5" customHeight="1">
      <c r="A29" s="19">
        <v>45952.0</v>
      </c>
      <c r="B29" s="9">
        <v>1752.0</v>
      </c>
    </row>
    <row r="30" ht="22.5" customHeight="1">
      <c r="A30" s="19">
        <v>45954.0</v>
      </c>
      <c r="B30" s="9">
        <v>-400.0</v>
      </c>
    </row>
    <row r="31" ht="22.5" customHeight="1">
      <c r="A31" s="19">
        <v>45955.0</v>
      </c>
      <c r="B31" s="9">
        <v>228.0</v>
      </c>
    </row>
    <row r="32" ht="22.5" customHeight="1">
      <c r="A32" s="19">
        <v>45957.0</v>
      </c>
      <c r="B32" s="9">
        <v>5007.0</v>
      </c>
    </row>
    <row r="33" ht="22.5" customHeight="1">
      <c r="A33" s="19">
        <v>45958.0</v>
      </c>
      <c r="B33" s="9">
        <v>1376.0</v>
      </c>
    </row>
    <row r="34" ht="22.5" customHeight="1">
      <c r="A34" s="19">
        <v>45959.0</v>
      </c>
      <c r="B34" s="9">
        <v>109.0</v>
      </c>
    </row>
    <row r="35" ht="22.5" customHeight="1">
      <c r="A35" s="19">
        <v>45960.0</v>
      </c>
      <c r="B35" s="9">
        <v>373.0</v>
      </c>
    </row>
    <row r="36" ht="22.5" customHeight="1">
      <c r="A36" s="19">
        <v>45961.0</v>
      </c>
      <c r="B36" s="9">
        <v>-5600.0</v>
      </c>
    </row>
    <row r="37" ht="22.5" customHeight="1">
      <c r="A37" s="19">
        <v>45962.0</v>
      </c>
      <c r="B37" s="9">
        <v>779.0</v>
      </c>
    </row>
    <row r="38" ht="22.5" customHeight="1">
      <c r="A38" s="19">
        <v>45964.0</v>
      </c>
      <c r="B38" s="9">
        <v>524.0</v>
      </c>
    </row>
    <row r="39" ht="22.5" customHeight="1">
      <c r="A39" s="19">
        <v>45965.0</v>
      </c>
      <c r="B39" s="9">
        <v>638.0</v>
      </c>
    </row>
    <row r="40" ht="22.5" customHeight="1">
      <c r="A40" s="19">
        <v>45966.0</v>
      </c>
      <c r="B40" s="9">
        <v>1110.0</v>
      </c>
    </row>
    <row r="41" ht="22.5" customHeight="1">
      <c r="A41" s="19">
        <v>45967.0</v>
      </c>
      <c r="B41" s="9">
        <v>1822.0</v>
      </c>
    </row>
    <row r="42" ht="22.5" customHeight="1">
      <c r="A42" s="19">
        <v>45968.0</v>
      </c>
      <c r="B42" s="9">
        <v>1819.0</v>
      </c>
    </row>
    <row r="43" ht="22.5" customHeight="1">
      <c r="A43" s="19">
        <v>45969.0</v>
      </c>
      <c r="B43" s="9">
        <v>630.0</v>
      </c>
    </row>
    <row r="44" ht="22.5" customHeight="1">
      <c r="A44" s="19">
        <v>45971.0</v>
      </c>
      <c r="B44" s="9">
        <v>2320.0</v>
      </c>
    </row>
    <row r="45" ht="22.5" customHeight="1">
      <c r="A45" s="19">
        <v>45972.0</v>
      </c>
      <c r="B45" s="9">
        <v>2041.0</v>
      </c>
    </row>
    <row r="46" ht="22.5" customHeight="1">
      <c r="A46" s="19">
        <v>45973.0</v>
      </c>
      <c r="B46" s="9">
        <v>1413.0</v>
      </c>
    </row>
    <row r="47" ht="22.5" customHeight="1">
      <c r="A47" s="19">
        <v>45974.0</v>
      </c>
      <c r="B47" s="9">
        <v>1062.0</v>
      </c>
    </row>
    <row r="48" ht="22.5" customHeight="1">
      <c r="A48" s="19">
        <v>45975.0</v>
      </c>
      <c r="B48" s="9">
        <v>2100.0</v>
      </c>
    </row>
    <row r="49" ht="22.5" customHeight="1">
      <c r="A49" s="19">
        <v>45976.0</v>
      </c>
      <c r="B49" s="9">
        <v>6126.0</v>
      </c>
    </row>
    <row r="50" ht="22.5" customHeight="1">
      <c r="A50" s="19">
        <v>45978.0</v>
      </c>
      <c r="B50" s="9">
        <v>-1856.0</v>
      </c>
    </row>
    <row r="51" ht="22.5" customHeight="1">
      <c r="A51" s="19">
        <v>45979.0</v>
      </c>
      <c r="B51" s="9">
        <v>750.0</v>
      </c>
    </row>
    <row r="52" ht="22.5" customHeight="1">
      <c r="A52" s="19">
        <v>45980.0</v>
      </c>
      <c r="B52" s="9">
        <v>3840.0</v>
      </c>
    </row>
    <row r="53" ht="22.5" customHeight="1">
      <c r="A53" s="19">
        <v>45981.0</v>
      </c>
      <c r="B53" s="9">
        <v>-27335.0</v>
      </c>
    </row>
    <row r="54" ht="22.5" customHeight="1">
      <c r="A54" s="19">
        <v>45982.0</v>
      </c>
      <c r="B54" s="9">
        <v>2000.0</v>
      </c>
    </row>
    <row r="55" ht="22.5" customHeight="1">
      <c r="A55" s="19">
        <v>45983.0</v>
      </c>
      <c r="B55" s="9">
        <v>2604.0</v>
      </c>
    </row>
    <row r="56" ht="22.5" customHeight="1">
      <c r="A56" s="19">
        <v>45985.0</v>
      </c>
      <c r="B56" s="9">
        <v>150.0</v>
      </c>
    </row>
    <row r="57" ht="22.5" customHeight="1">
      <c r="A57" s="19">
        <v>45986.0</v>
      </c>
      <c r="B57" s="9">
        <v>2887.0</v>
      </c>
    </row>
    <row r="58" ht="22.5" customHeight="1">
      <c r="A58" s="19">
        <v>45987.0</v>
      </c>
      <c r="B58" s="9">
        <v>1910.0</v>
      </c>
    </row>
    <row r="59" ht="22.5" customHeight="1">
      <c r="A59" s="19">
        <v>45988.0</v>
      </c>
      <c r="B59" s="9">
        <v>1374.0</v>
      </c>
    </row>
    <row r="60" ht="22.5" customHeight="1">
      <c r="A60" s="19">
        <v>45989.0</v>
      </c>
      <c r="B60" s="9">
        <v>-110.0</v>
      </c>
    </row>
    <row r="61" ht="22.5" customHeight="1">
      <c r="A61" s="19">
        <v>45990.0</v>
      </c>
      <c r="B61" s="9">
        <v>1032.0</v>
      </c>
    </row>
    <row r="62" ht="22.5" customHeight="1">
      <c r="A62" s="19">
        <v>45992.0</v>
      </c>
      <c r="B62" s="9">
        <v>-1242.0</v>
      </c>
    </row>
    <row r="63" ht="22.5" customHeight="1">
      <c r="A63" s="19">
        <v>45993.0</v>
      </c>
      <c r="B63" s="9">
        <v>1252.0</v>
      </c>
    </row>
    <row r="64" ht="22.5" customHeight="1">
      <c r="A64" s="19">
        <v>45994.0</v>
      </c>
      <c r="B64" s="9">
        <v>1460.0</v>
      </c>
    </row>
    <row r="65" ht="22.5" customHeight="1">
      <c r="A65" s="19">
        <v>45995.0</v>
      </c>
      <c r="B65" s="9">
        <v>400.0</v>
      </c>
    </row>
    <row r="66" ht="22.5" customHeight="1">
      <c r="A66" s="19">
        <v>45996.0</v>
      </c>
      <c r="B66" s="9">
        <v>132.0</v>
      </c>
    </row>
    <row r="67" ht="22.5" customHeight="1">
      <c r="A67" s="19">
        <v>45997.0</v>
      </c>
      <c r="B67" s="9">
        <v>608.0</v>
      </c>
    </row>
  </sheetData>
  <dataValidations>
    <dataValidation type="custom" allowBlank="1" showDropDown="1" sqref="A4:A67">
      <formula1>OR(NOT(ISERROR(DATEVALUE(A4))), AND(ISNUMBER(A4), LEFT(CELL("format", A4))="D"))</formula1>
    </dataValidation>
    <dataValidation type="custom" allowBlank="1" showDropDown="1" sqref="B4:B6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